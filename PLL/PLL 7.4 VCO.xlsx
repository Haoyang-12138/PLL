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C\Desktop\PLL\"/>
    </mc:Choice>
  </mc:AlternateContent>
  <xr:revisionPtr revIDLastSave="0" documentId="13_ncr:1_{D327467B-E9AA-47FB-963D-C974450495E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</calcChain>
</file>

<file path=xl/sharedStrings.xml><?xml version="1.0" encoding="utf-8"?>
<sst xmlns="http://schemas.openxmlformats.org/spreadsheetml/2006/main" count="58" uniqueCount="53">
  <si>
    <t>10k,10k,470 pF</t>
    <phoneticPr fontId="1" type="noConversion"/>
  </si>
  <si>
    <t>10k,15k,470pF</t>
    <phoneticPr fontId="1" type="noConversion"/>
  </si>
  <si>
    <t>10k,100k,1000pF</t>
    <phoneticPr fontId="1" type="noConversion"/>
  </si>
  <si>
    <t>10k,10k,1nF</t>
    <phoneticPr fontId="1" type="noConversion"/>
  </si>
  <si>
    <t>10k,10k,1000pF</t>
    <phoneticPr fontId="1" type="noConversion"/>
  </si>
  <si>
    <t>10k,100k,100pF</t>
    <phoneticPr fontId="1" type="noConversion"/>
  </si>
  <si>
    <t>10k,100k, 100nF</t>
    <phoneticPr fontId="1" type="noConversion"/>
  </si>
  <si>
    <t>158/168.8</t>
    <phoneticPr fontId="1" type="noConversion"/>
  </si>
  <si>
    <t>244/262.5</t>
    <phoneticPr fontId="1" type="noConversion"/>
  </si>
  <si>
    <t>Frequency in kHz</t>
  </si>
  <si>
    <t>100k,100k,1000pF</t>
    <phoneticPr fontId="1" type="noConversion"/>
  </si>
  <si>
    <t>1M, 1M, 1000pF</t>
    <phoneticPr fontId="1" type="noConversion"/>
  </si>
  <si>
    <t>100k,100k,470pF</t>
    <phoneticPr fontId="1" type="noConversion"/>
  </si>
  <si>
    <t>100k,100k,3300pF</t>
    <phoneticPr fontId="1" type="noConversion"/>
  </si>
  <si>
    <t>13.9/12.91</t>
    <phoneticPr fontId="1" type="noConversion"/>
  </si>
  <si>
    <t>95.4/89.36</t>
    <phoneticPr fontId="1" type="noConversion"/>
  </si>
  <si>
    <t>195/</t>
    <phoneticPr fontId="1" type="noConversion"/>
  </si>
  <si>
    <t>/46.8</t>
    <phoneticPr fontId="1" type="noConversion"/>
  </si>
  <si>
    <t>use 24567</t>
    <phoneticPr fontId="1" type="noConversion"/>
  </si>
  <si>
    <t>ratio of R2/R1 as a function of the ratio fmax/fmin</t>
  </si>
  <si>
    <t>R2/R1</t>
    <phoneticPr fontId="1" type="noConversion"/>
  </si>
  <si>
    <t>fmax/fmin</t>
    <phoneticPr fontId="1" type="noConversion"/>
  </si>
  <si>
    <t>100k, R2, 1000pF</t>
    <phoneticPr fontId="1" type="noConversion"/>
  </si>
  <si>
    <t>100k,1M,1000pF</t>
    <phoneticPr fontId="1" type="noConversion"/>
  </si>
  <si>
    <t>100k,150k,1000pF</t>
    <phoneticPr fontId="1" type="noConversion"/>
  </si>
  <si>
    <t>100k,10k,1000pF</t>
    <phoneticPr fontId="1" type="noConversion"/>
  </si>
  <si>
    <t>100k,220k,1000pF</t>
    <phoneticPr fontId="1" type="noConversion"/>
  </si>
  <si>
    <t>Offset Frequency (@0V)</t>
    <phoneticPr fontId="1" type="noConversion"/>
  </si>
  <si>
    <t>R1=10k</t>
    <phoneticPr fontId="1" type="noConversion"/>
  </si>
  <si>
    <t>R2=100k</t>
    <phoneticPr fontId="1" type="noConversion"/>
  </si>
  <si>
    <t>C</t>
    <phoneticPr fontId="1" type="noConversion"/>
  </si>
  <si>
    <t>C (nF)</t>
    <phoneticPr fontId="1" type="noConversion"/>
  </si>
  <si>
    <t>Frequency</t>
    <phoneticPr fontId="1" type="noConversion"/>
  </si>
  <si>
    <t>10k,100k 470pF</t>
    <phoneticPr fontId="1" type="noConversion"/>
  </si>
  <si>
    <t>10k,100k 3300pF</t>
    <phoneticPr fontId="1" type="noConversion"/>
  </si>
  <si>
    <t>R2=10k</t>
    <phoneticPr fontId="1" type="noConversion"/>
  </si>
  <si>
    <t>10k,100k,10nF</t>
    <phoneticPr fontId="1" type="noConversion"/>
  </si>
  <si>
    <t>10k,10k,10nF</t>
    <phoneticPr fontId="1" type="noConversion"/>
  </si>
  <si>
    <t>R2=1M</t>
    <phoneticPr fontId="1" type="noConversion"/>
  </si>
  <si>
    <t>10k,1M,1000pF</t>
    <phoneticPr fontId="1" type="noConversion"/>
  </si>
  <si>
    <t>10k,1M,100pF</t>
    <phoneticPr fontId="1" type="noConversion"/>
  </si>
  <si>
    <t>10k,1M, 10nF</t>
    <phoneticPr fontId="1" type="noConversion"/>
  </si>
  <si>
    <t>Center Frequency</t>
    <phoneticPr fontId="1" type="noConversion"/>
  </si>
  <si>
    <t>R1=10K</t>
    <phoneticPr fontId="1" type="noConversion"/>
  </si>
  <si>
    <t>R1=100K</t>
    <phoneticPr fontId="1" type="noConversion"/>
  </si>
  <si>
    <t>Output Frequency vs Input Voltage</t>
    <phoneticPr fontId="1" type="noConversion"/>
  </si>
  <si>
    <t>100k,100k,1nF</t>
    <phoneticPr fontId="1" type="noConversion"/>
  </si>
  <si>
    <t>Voltage</t>
    <phoneticPr fontId="1" type="noConversion"/>
  </si>
  <si>
    <t>10k,100k,1nF</t>
    <phoneticPr fontId="1" type="noConversion"/>
  </si>
  <si>
    <t>10k,100k,0.1nF</t>
    <phoneticPr fontId="1" type="noConversion"/>
  </si>
  <si>
    <t>10k,100k,3.3F</t>
    <phoneticPr fontId="1" type="noConversion"/>
  </si>
  <si>
    <t>100k,1M, 1nF</t>
    <phoneticPr fontId="1" type="noConversion"/>
  </si>
  <si>
    <t>Get a table of frequency range vs setup in appendix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</si>
</sst>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587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1587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8882-49ED-BD00-BBC2A00C26BE}"/>
              </c:ext>
            </c:extLst>
          </c:dPt>
          <c:trendline>
            <c:spPr>
              <a:ln w="15875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errBars>
            <c:errDir val="x"/>
            <c:errBarType val="both"/>
            <c:errValType val="percentage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Sheet1!$D$27:$D$31</c:f>
              <c:numCache>
                <c:formatCode>General</c:formatCode>
                <c:ptCount val="5"/>
                <c:pt idx="0">
                  <c:v>10</c:v>
                </c:pt>
                <c:pt idx="1">
                  <c:v>1</c:v>
                </c:pt>
                <c:pt idx="2">
                  <c:v>1.5</c:v>
                </c:pt>
                <c:pt idx="3">
                  <c:v>0.1</c:v>
                </c:pt>
                <c:pt idx="4">
                  <c:v>2.2000000000000002</c:v>
                </c:pt>
              </c:numCache>
            </c:numRef>
          </c:xVal>
          <c:yVal>
            <c:numRef>
              <c:f>Sheet1!$E$27:$E$31</c:f>
              <c:numCache>
                <c:formatCode>General</c:formatCode>
                <c:ptCount val="5"/>
                <c:pt idx="0">
                  <c:v>7.4</c:v>
                </c:pt>
                <c:pt idx="1">
                  <c:v>1.9</c:v>
                </c:pt>
                <c:pt idx="2">
                  <c:v>2.2999999999999998</c:v>
                </c:pt>
                <c:pt idx="3">
                  <c:v>1.1000000000000001</c:v>
                </c:pt>
                <c:pt idx="4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82-49ED-BD00-BBC2A00C2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357151"/>
        <c:axId val="1579858271"/>
      </c:scatterChart>
      <c:valAx>
        <c:axId val="1726357151"/>
        <c:scaling>
          <c:logBase val="10"/>
          <c:orientation val="minMax"/>
          <c:min val="1.0000000000000002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B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9858271"/>
        <c:crosses val="autoZero"/>
        <c:crossBetween val="midCat"/>
      </c:valAx>
      <c:valAx>
        <c:axId val="15798582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 sz="1200"/>
                  <a:t>f</a:t>
                </a:r>
                <a:r>
                  <a:rPr lang="en-GB" altLang="zh-CN" sz="900"/>
                  <a:t>max</a:t>
                </a:r>
                <a:r>
                  <a:rPr lang="en-GB" altLang="zh-CN" sz="1200"/>
                  <a:t>/f</a:t>
                </a:r>
                <a:r>
                  <a:rPr lang="en-GB" altLang="zh-CN" sz="900"/>
                  <a:t>min</a:t>
                </a:r>
                <a:endParaRPr lang="en-GB" altLang="zh-CN" sz="1200"/>
              </a:p>
            </c:rich>
          </c:tx>
          <c:layout>
            <c:manualLayout>
              <c:xMode val="edge"/>
              <c:yMode val="edge"/>
              <c:x val="8.3380549484386498E-3"/>
              <c:y val="0.3292354552965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6357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R2=100k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2.9049929439817269E-3"/>
                  <c:y val="-3.159703995333908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baseline="0"/>
                      <a:t>ln(y) = 12.518-0.983 ln(x)</a:t>
                    </a:r>
                    <a:br>
                      <a:rPr lang="en-US" altLang="zh-CN" baseline="0"/>
                    </a:br>
                    <a:r>
                      <a:rPr lang="en-US" altLang="zh-CN" baseline="0"/>
                      <a:t>R² = 0.9992</a:t>
                    </a:r>
                    <a:endParaRPr lang="en-US" altLang="zh-C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accent1">
                    <a:alpha val="93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10"/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Sheet1!$B$49:$B$54</c:f>
              <c:numCache>
                <c:formatCode>General</c:formatCode>
                <c:ptCount val="6"/>
                <c:pt idx="0">
                  <c:v>0.1</c:v>
                </c:pt>
                <c:pt idx="1">
                  <c:v>1</c:v>
                </c:pt>
                <c:pt idx="2">
                  <c:v>100</c:v>
                </c:pt>
                <c:pt idx="3">
                  <c:v>0.47</c:v>
                </c:pt>
                <c:pt idx="4">
                  <c:v>3.3</c:v>
                </c:pt>
                <c:pt idx="5">
                  <c:v>10</c:v>
                </c:pt>
              </c:numCache>
            </c:numRef>
          </c:xVal>
          <c:yVal>
            <c:numRef>
              <c:f>Sheet1!$C$49:$C$54</c:f>
              <c:numCache>
                <c:formatCode>General</c:formatCode>
                <c:ptCount val="6"/>
                <c:pt idx="0">
                  <c:v>115.5</c:v>
                </c:pt>
                <c:pt idx="1">
                  <c:v>13.9</c:v>
                </c:pt>
                <c:pt idx="2">
                  <c:v>0.14299999999999999</c:v>
                </c:pt>
                <c:pt idx="3">
                  <c:v>28</c:v>
                </c:pt>
                <c:pt idx="4">
                  <c:v>3.5</c:v>
                </c:pt>
                <c:pt idx="5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F-4D97-8728-294128869C15}"/>
            </c:ext>
          </c:extLst>
        </c:ser>
        <c:ser>
          <c:idx val="1"/>
          <c:order val="1"/>
          <c:tx>
            <c:v>R2=10k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forward val="90"/>
            <c:backward val="0.9"/>
            <c:dispRSqr val="1"/>
            <c:dispEq val="1"/>
            <c:trendlineLbl>
              <c:layout>
                <c:manualLayout>
                  <c:x val="-0.25127615922044527"/>
                  <c:y val="-0.3514151356080489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baseline="0"/>
                      <a:t>ln(y) = 75.484-0.942ln(x)</a:t>
                    </a:r>
                    <a:br>
                      <a:rPr lang="en-US" altLang="zh-CN" baseline="0"/>
                    </a:br>
                    <a:r>
                      <a:rPr lang="en-US" altLang="zh-CN" baseline="0"/>
                      <a:t>R² = 0.9987</a:t>
                    </a:r>
                    <a:endParaRPr lang="en-US" altLang="zh-C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1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Sheet1!$B$55:$B$57</c:f>
              <c:numCache>
                <c:formatCode>General</c:formatCode>
                <c:ptCount val="3"/>
                <c:pt idx="0">
                  <c:v>0.47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Sheet1!$C$55:$C$57</c:f>
              <c:numCache>
                <c:formatCode>General</c:formatCode>
                <c:ptCount val="3"/>
                <c:pt idx="0">
                  <c:v>158</c:v>
                </c:pt>
                <c:pt idx="1">
                  <c:v>72.8</c:v>
                </c:pt>
                <c:pt idx="2">
                  <c:v>8.6999999999999993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D3F-4D97-8728-294128869C15}"/>
            </c:ext>
          </c:extLst>
        </c:ser>
        <c:ser>
          <c:idx val="2"/>
          <c:order val="2"/>
          <c:tx>
            <c:v>R2=1M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forward val="3"/>
            <c:dispRSqr val="1"/>
            <c:dispEq val="1"/>
            <c:trendlineLbl>
              <c:layout>
                <c:manualLayout>
                  <c:x val="-0.31723631955798803"/>
                  <c:y val="-0.2121525955088947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baseline="0"/>
                      <a:t>ln(y) = 1.2841-0.993 ln(x)</a:t>
                    </a:r>
                    <a:br>
                      <a:rPr lang="en-US" altLang="zh-CN" baseline="0"/>
                    </a:br>
                    <a:r>
                      <a:rPr lang="en-US" altLang="zh-CN" baseline="0"/>
                      <a:t>R² = 0.9998</a:t>
                    </a:r>
                    <a:endParaRPr lang="en-US" altLang="zh-C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1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Sheet1!$B$58:$B$60</c:f>
              <c:numCache>
                <c:formatCode>General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Sheet1!$C$58:$C$60</c:f>
              <c:numCache>
                <c:formatCode>General</c:formatCode>
                <c:ptCount val="3"/>
                <c:pt idx="0">
                  <c:v>11.9</c:v>
                </c:pt>
                <c:pt idx="1">
                  <c:v>1.4</c:v>
                </c:pt>
                <c:pt idx="2">
                  <c:v>0.125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D3F-4D97-8728-294128869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073055"/>
        <c:axId val="1810589823"/>
      </c:scatterChart>
      <c:valAx>
        <c:axId val="1436073055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/>
                  <a:t>Capacitance</a:t>
                </a:r>
                <a:r>
                  <a:rPr lang="en-GB" altLang="zh-CN" baseline="0"/>
                  <a:t>/nF</a:t>
                </a:r>
                <a:endParaRPr lang="en-GB" altLang="zh-CN"/>
              </a:p>
            </c:rich>
          </c:tx>
          <c:layout>
            <c:manualLayout>
              <c:xMode val="edge"/>
              <c:yMode val="edge"/>
              <c:x val="0.42369204504537017"/>
              <c:y val="0.89440103770086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  <a:alpha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0589823"/>
        <c:crosses val="autoZero"/>
        <c:crossBetween val="midCat"/>
      </c:valAx>
      <c:valAx>
        <c:axId val="181058982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/>
                  <a:t>O</a:t>
                </a:r>
                <a:r>
                  <a:rPr lang="en-US" altLang="zh-CN"/>
                  <a:t>ffset</a:t>
                </a:r>
                <a:r>
                  <a:rPr lang="en-US" altLang="zh-CN" baseline="0"/>
                  <a:t> Frequency/kHz</a:t>
                </a:r>
                <a:endParaRPr lang="en-GB" altLang="zh-CN"/>
              </a:p>
            </c:rich>
          </c:tx>
          <c:layout>
            <c:manualLayout>
              <c:xMode val="edge"/>
              <c:yMode val="edge"/>
              <c:x val="1.7055264260072638E-2"/>
              <c:y val="0.250724437747802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6073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R1=10k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138888888888889E-3"/>
                  <c:y val="-0.1844061679790026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baseline="0"/>
                      <a:t>ln(y) = 48.138-0.836ln(x)</a:t>
                    </a:r>
                    <a:br>
                      <a:rPr lang="en-US" altLang="zh-CN" baseline="0"/>
                    </a:br>
                    <a:r>
                      <a:rPr lang="en-US" altLang="zh-CN" baseline="0"/>
                      <a:t>R² = 0.9989</a:t>
                    </a:r>
                    <a:endParaRPr lang="en-US" altLang="zh-C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1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Sheet1!$B$68:$B$72</c:f>
              <c:numCache>
                <c:formatCode>General</c:formatCode>
                <c:ptCount val="5"/>
                <c:pt idx="0">
                  <c:v>0.1</c:v>
                </c:pt>
                <c:pt idx="1">
                  <c:v>1</c:v>
                </c:pt>
                <c:pt idx="2">
                  <c:v>100</c:v>
                </c:pt>
                <c:pt idx="3">
                  <c:v>0.47</c:v>
                </c:pt>
                <c:pt idx="4">
                  <c:v>3.3</c:v>
                </c:pt>
              </c:numCache>
            </c:numRef>
          </c:xVal>
          <c:yVal>
            <c:numRef>
              <c:f>Sheet1!$C$68:$C$72</c:f>
              <c:numCache>
                <c:formatCode>General</c:formatCode>
                <c:ptCount val="5"/>
                <c:pt idx="0">
                  <c:v>399</c:v>
                </c:pt>
                <c:pt idx="1">
                  <c:v>46.8</c:v>
                </c:pt>
                <c:pt idx="2">
                  <c:v>0.53</c:v>
                </c:pt>
                <c:pt idx="3">
                  <c:v>96</c:v>
                </c:pt>
                <c:pt idx="4">
                  <c:v>14.3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CB-4052-A87A-B40F4FFCA209}"/>
            </c:ext>
          </c:extLst>
        </c:ser>
        <c:ser>
          <c:idx val="1"/>
          <c:order val="1"/>
          <c:tx>
            <c:v>R1=100k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forward val="50"/>
            <c:backward val="0.8"/>
            <c:dispRSqr val="1"/>
            <c:dispEq val="1"/>
            <c:trendlineLbl>
              <c:layout>
                <c:manualLayout>
                  <c:x val="-0.20260720662715093"/>
                  <c:y val="-0.1332878212670855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baseline="0"/>
                      <a:t>ln(y) = 18.02-1.006ln(x)</a:t>
                    </a:r>
                    <a:br>
                      <a:rPr lang="en-US" altLang="zh-CN" baseline="0"/>
                    </a:br>
                    <a:r>
                      <a:rPr lang="en-US" altLang="zh-CN" baseline="0"/>
                      <a:t>R² = 0.9998</a:t>
                    </a:r>
                    <a:endParaRPr lang="en-US" altLang="zh-C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errBars>
            <c:errDir val="y"/>
            <c:errBarType val="both"/>
            <c:errValType val="percentage"/>
            <c:noEndCap val="0"/>
            <c:val val="1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Sheet1!$B$74:$B$76</c:f>
              <c:numCache>
                <c:formatCode>General</c:formatCode>
                <c:ptCount val="3"/>
                <c:pt idx="0">
                  <c:v>1</c:v>
                </c:pt>
                <c:pt idx="1">
                  <c:v>0.47</c:v>
                </c:pt>
                <c:pt idx="2">
                  <c:v>3.3</c:v>
                </c:pt>
              </c:numCache>
            </c:numRef>
          </c:xVal>
          <c:yVal>
            <c:numRef>
              <c:f>Sheet1!$C$74:$C$76</c:f>
              <c:numCache>
                <c:formatCode>General</c:formatCode>
                <c:ptCount val="3"/>
                <c:pt idx="0">
                  <c:v>18.28</c:v>
                </c:pt>
                <c:pt idx="1">
                  <c:v>38.200000000000003</c:v>
                </c:pt>
                <c:pt idx="2">
                  <c:v>5.391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CCB-4052-A87A-B40F4FFCA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862959"/>
        <c:axId val="1723682399"/>
      </c:scatterChart>
      <c:valAx>
        <c:axId val="1805862959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/>
                  <a:t>Capacitance/nF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3682399"/>
        <c:crosses val="autoZero"/>
        <c:crossBetween val="midCat"/>
      </c:valAx>
      <c:valAx>
        <c:axId val="172368239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/>
                  <a:t>Center</a:t>
                </a:r>
                <a:r>
                  <a:rPr lang="en-GB" altLang="zh-CN" baseline="0"/>
                  <a:t> Freqeuncy/kHz</a:t>
                </a:r>
                <a:endParaRPr lang="en-GB" altLang="zh-CN"/>
              </a:p>
            </c:rich>
          </c:tx>
          <c:layout>
            <c:manualLayout>
              <c:xMode val="edge"/>
              <c:yMode val="edge"/>
              <c:x val="1.4846235418875928E-2"/>
              <c:y val="0.240810002916302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586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13433797348834E-2"/>
          <c:y val="3.2076840017213948E-2"/>
          <c:w val="0.72933076543180375"/>
          <c:h val="0.86177443487946104"/>
        </c:manualLayout>
      </c:layout>
      <c:scatterChart>
        <c:scatterStyle val="lineMarker"/>
        <c:varyColors val="0"/>
        <c:ser>
          <c:idx val="1"/>
          <c:order val="1"/>
          <c:tx>
            <c:v>10k,100k,1nF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6934330686075659E-2"/>
                  <c:y val="-0.130887157184829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Sheet1!$B$84:$B$86</c:f>
              <c:numCache>
                <c:formatCode>General</c:formatCode>
                <c:ptCount val="3"/>
                <c:pt idx="0">
                  <c:v>0</c:v>
                </c:pt>
                <c:pt idx="1">
                  <c:v>2.5</c:v>
                </c:pt>
                <c:pt idx="2">
                  <c:v>5</c:v>
                </c:pt>
              </c:numCache>
            </c:numRef>
          </c:xVal>
          <c:yVal>
            <c:numRef>
              <c:f>Sheet1!$C$84:$C$86</c:f>
              <c:numCache>
                <c:formatCode>General</c:formatCode>
                <c:ptCount val="3"/>
                <c:pt idx="0">
                  <c:v>12.91</c:v>
                </c:pt>
                <c:pt idx="1">
                  <c:v>46.8</c:v>
                </c:pt>
                <c:pt idx="2">
                  <c:v>89.36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6E-4563-8856-DFAA464DC7E8}"/>
            </c:ext>
          </c:extLst>
        </c:ser>
        <c:ser>
          <c:idx val="3"/>
          <c:order val="3"/>
          <c:tx>
            <c:v>10k,100k,0.1nF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baseline="0"/>
                      <a:t>y = 113.38x + 115.52</a:t>
                    </a:r>
                    <a:br>
                      <a:rPr lang="en-US" altLang="zh-CN" baseline="0"/>
                    </a:br>
                    <a:r>
                      <a:rPr lang="en-US" altLang="zh-CN" baseline="0"/>
                      <a:t>R² = 0.998</a:t>
                    </a:r>
                    <a:endParaRPr lang="en-US" altLang="zh-C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Sheet1!$B$89:$B$91</c:f>
              <c:numCache>
                <c:formatCode>General</c:formatCode>
                <c:ptCount val="3"/>
                <c:pt idx="0">
                  <c:v>0</c:v>
                </c:pt>
                <c:pt idx="1">
                  <c:v>2.5</c:v>
                </c:pt>
                <c:pt idx="2">
                  <c:v>5</c:v>
                </c:pt>
              </c:numCache>
            </c:numRef>
          </c:xVal>
          <c:yVal>
            <c:numRef>
              <c:f>Sheet1!$C$89:$C$91</c:f>
              <c:numCache>
                <c:formatCode>General</c:formatCode>
                <c:ptCount val="3"/>
                <c:pt idx="0">
                  <c:v>115.5</c:v>
                </c:pt>
                <c:pt idx="1">
                  <c:v>399</c:v>
                </c:pt>
                <c:pt idx="2">
                  <c:v>682.4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66E-4563-8856-DFAA464DC7E8}"/>
            </c:ext>
          </c:extLst>
        </c:ser>
        <c:ser>
          <c:idx val="4"/>
          <c:order val="4"/>
          <c:tx>
            <c:v>10k,100k,3.3nF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1387871307031708E-2"/>
                  <c:y val="4.507135662790158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baseline="0"/>
                      <a:t>y = 4.34x + 3.4833</a:t>
                    </a:r>
                    <a:br>
                      <a:rPr lang="en-US" altLang="zh-CN" baseline="0"/>
                    </a:br>
                    <a:r>
                      <a:rPr lang="en-US" altLang="zh-CN" baseline="0"/>
                      <a:t>R² = 0.997</a:t>
                    </a:r>
                    <a:endParaRPr lang="en-US" altLang="zh-C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Sheet1!$B$94:$B$96</c:f>
              <c:numCache>
                <c:formatCode>General</c:formatCode>
                <c:ptCount val="3"/>
                <c:pt idx="0">
                  <c:v>0</c:v>
                </c:pt>
                <c:pt idx="1">
                  <c:v>2.5</c:v>
                </c:pt>
                <c:pt idx="2">
                  <c:v>5</c:v>
                </c:pt>
              </c:numCache>
            </c:numRef>
          </c:xVal>
          <c:yVal>
            <c:numRef>
              <c:f>Sheet1!$C$94:$C$96</c:f>
              <c:numCache>
                <c:formatCode>General</c:formatCode>
                <c:ptCount val="3"/>
                <c:pt idx="0">
                  <c:v>3.5</c:v>
                </c:pt>
                <c:pt idx="1">
                  <c:v>14.3</c:v>
                </c:pt>
                <c:pt idx="2">
                  <c:v>25.2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66E-4563-8856-DFAA464DC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862479"/>
        <c:axId val="18145077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100k,100k,1nF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1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>
                      <c:ext uri="{02D57815-91ED-43cb-92C2-25804820EDAC}">
                        <c15:formulaRef>
                          <c15:sqref>Sheet1!$B$99:$B$104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1</c:v>
                      </c:pt>
                      <c:pt idx="2">
                        <c:v>2.5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Sheet1!$C$99:$C$104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13.9</c:v>
                      </c:pt>
                      <c:pt idx="1">
                        <c:v>14.8</c:v>
                      </c:pt>
                      <c:pt idx="2">
                        <c:v>18.28</c:v>
                      </c:pt>
                      <c:pt idx="3">
                        <c:v>19.989999999999998</c:v>
                      </c:pt>
                      <c:pt idx="4">
                        <c:v>23.1</c:v>
                      </c:pt>
                      <c:pt idx="5">
                        <c:v>26.5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66E-4563-8856-DFAA464DC7E8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10k,10k,1nF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3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Sheet1!$B$106:$B$108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2.5</c:v>
                      </c:pt>
                      <c:pt idx="2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Sheet1!$C$106:$C$108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72.8</c:v>
                      </c:pt>
                      <c:pt idx="1">
                        <c:v>112</c:v>
                      </c:pt>
                      <c:pt idx="2">
                        <c:v>159.30000000000001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66E-4563-8856-DFAA464DC7E8}"/>
                  </c:ext>
                </c:extLst>
              </c15:ser>
            </c15:filteredScatterSeries>
          </c:ext>
        </c:extLst>
      </c:scatterChart>
      <c:valAx>
        <c:axId val="1805862479"/>
        <c:scaling>
          <c:orientation val="minMax"/>
          <c:max val="5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4507727"/>
        <c:crosses val="autoZero"/>
        <c:crossBetween val="midCat"/>
        <c:majorUnit val="0.5"/>
      </c:valAx>
      <c:valAx>
        <c:axId val="181450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5862479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10k,100k,1nF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1725085747372328E-2"/>
                  <c:y val="-5.0647642124714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Sheet1!$B$84:$B$86</c:f>
              <c:numCache>
                <c:formatCode>General</c:formatCode>
                <c:ptCount val="3"/>
                <c:pt idx="0">
                  <c:v>0</c:v>
                </c:pt>
                <c:pt idx="1">
                  <c:v>2.5</c:v>
                </c:pt>
                <c:pt idx="2">
                  <c:v>5</c:v>
                </c:pt>
              </c:numCache>
            </c:numRef>
          </c:xVal>
          <c:yVal>
            <c:numRef>
              <c:f>Sheet1!$C$84:$C$86</c:f>
              <c:numCache>
                <c:formatCode>General</c:formatCode>
                <c:ptCount val="3"/>
                <c:pt idx="0">
                  <c:v>12.91</c:v>
                </c:pt>
                <c:pt idx="1">
                  <c:v>46.8</c:v>
                </c:pt>
                <c:pt idx="2">
                  <c:v>89.36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6F-47B1-B654-C5AD41B0528E}"/>
            </c:ext>
          </c:extLst>
        </c:ser>
        <c:ser>
          <c:idx val="1"/>
          <c:order val="1"/>
          <c:tx>
            <c:v>100k,100k,1nF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5511694129398968E-2"/>
                  <c:y val="-6.04649815300961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Sheet1!$B$99:$B$104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2.5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Sheet1!$C$99:$C$104</c:f>
              <c:numCache>
                <c:formatCode>General</c:formatCode>
                <c:ptCount val="6"/>
                <c:pt idx="0">
                  <c:v>13.9</c:v>
                </c:pt>
                <c:pt idx="1">
                  <c:v>14.8</c:v>
                </c:pt>
                <c:pt idx="2">
                  <c:v>18.28</c:v>
                </c:pt>
                <c:pt idx="3">
                  <c:v>19.989999999999998</c:v>
                </c:pt>
                <c:pt idx="4">
                  <c:v>23.1</c:v>
                </c:pt>
                <c:pt idx="5">
                  <c:v>26.5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6F-47B1-B654-C5AD41B0528E}"/>
            </c:ext>
          </c:extLst>
        </c:ser>
        <c:ser>
          <c:idx val="2"/>
          <c:order val="2"/>
          <c:tx>
            <c:v>10k,10k,1nF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Sheet1!$B$106:$B$108</c:f>
              <c:numCache>
                <c:formatCode>General</c:formatCode>
                <c:ptCount val="3"/>
                <c:pt idx="0">
                  <c:v>0</c:v>
                </c:pt>
                <c:pt idx="1">
                  <c:v>2.5</c:v>
                </c:pt>
                <c:pt idx="2">
                  <c:v>5</c:v>
                </c:pt>
              </c:numCache>
            </c:numRef>
          </c:xVal>
          <c:yVal>
            <c:numRef>
              <c:f>Sheet1!$C$106:$C$108</c:f>
              <c:numCache>
                <c:formatCode>General</c:formatCode>
                <c:ptCount val="3"/>
                <c:pt idx="0">
                  <c:v>72.8</c:v>
                </c:pt>
                <c:pt idx="1">
                  <c:v>112</c:v>
                </c:pt>
                <c:pt idx="2">
                  <c:v>159.30000000000001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6F-47B1-B654-C5AD41B0528E}"/>
            </c:ext>
          </c:extLst>
        </c:ser>
        <c:ser>
          <c:idx val="3"/>
          <c:order val="3"/>
          <c:tx>
            <c:v>100k,1M,1nF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845148091015974"/>
                  <c:y val="3.80483858075464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Sheet1!$B$110:$B$112</c:f>
              <c:numCache>
                <c:formatCode>General</c:formatCode>
                <c:ptCount val="3"/>
                <c:pt idx="0">
                  <c:v>0</c:v>
                </c:pt>
                <c:pt idx="1">
                  <c:v>2.5</c:v>
                </c:pt>
                <c:pt idx="2">
                  <c:v>5</c:v>
                </c:pt>
              </c:numCache>
            </c:numRef>
          </c:xVal>
          <c:yVal>
            <c:numRef>
              <c:f>Sheet1!$C$110:$C$112</c:f>
              <c:numCache>
                <c:formatCode>General</c:formatCode>
                <c:ptCount val="3"/>
                <c:pt idx="0">
                  <c:v>1.3</c:v>
                </c:pt>
                <c:pt idx="1">
                  <c:v>5.0999999999999996</c:v>
                </c:pt>
                <c:pt idx="2">
                  <c:v>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6F-47B1-B654-C5AD41B05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4932911"/>
        <c:axId val="1723685375"/>
      </c:scatterChart>
      <c:valAx>
        <c:axId val="1724932911"/>
        <c:scaling>
          <c:orientation val="minMax"/>
          <c:max val="5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3685375"/>
        <c:crosses val="autoZero"/>
        <c:crossBetween val="midCat"/>
        <c:majorUnit val="0.5"/>
      </c:valAx>
      <c:valAx>
        <c:axId val="172368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493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560009</xdr:colOff>
      <xdr:row>27</xdr:row>
      <xdr:rowOff>171080</xdr:rowOff>
    </xdr:from>
    <xdr:to>
      <xdr:col>12</xdr:col>
      <xdr:colOff>598109</xdr:colOff>
      <xdr:row>41</xdr:row>
      <xdr:rowOff>159728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D5C168-AB3B-030D-541E-779114BAE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506598</xdr:colOff>
      <xdr:row>43</xdr:row>
      <xdr:rowOff>95959</xdr:rowOff>
    </xdr:from>
    <xdr:to>
      <xdr:col>13</xdr:col>
      <xdr:colOff>634403</xdr:colOff>
      <xdr:row>59</xdr:row>
      <xdr:rowOff>41944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A7D1EA-351E-C4A3-3D63-DC5C540B2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</xdr:colOff>
      <xdr:row>64</xdr:row>
      <xdr:rowOff>101599</xdr:rowOff>
    </xdr:from>
    <xdr:to>
      <xdr:col>17</xdr:col>
      <xdr:colOff>177800</xdr:colOff>
      <xdr:row>79</xdr:row>
      <xdr:rowOff>177799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9CE508-1C64-F072-6D50-740D78B2B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450850</xdr:colOff>
      <xdr:row>83</xdr:row>
      <xdr:rowOff>69849</xdr:rowOff>
    </xdr:from>
    <xdr:to>
      <xdr:col>20</xdr:col>
      <xdr:colOff>19050</xdr:colOff>
      <xdr:row>95</xdr:row>
      <xdr:rowOff>146049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B8FC47-28BF-55CF-A3CD-5CCB7B7C7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453984</xdr:colOff>
      <xdr:row>99</xdr:row>
      <xdr:rowOff>47870</xdr:rowOff>
    </xdr:from>
    <xdr:to>
      <xdr:col>19</xdr:col>
      <xdr:colOff>606136</xdr:colOff>
      <xdr:row>115</xdr:row>
      <xdr:rowOff>111330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08A0378-96F8-EE47-97DD-ED98067E8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0.39464</cdr:x>
      <cdr:y>0.88754</cdr:y>
    </cdr:from>
    <cdr:to>
      <cdr:x>0.59344</cdr:x>
      <cdr:y>0.99008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9FA30E31-C9CD-48D8-0539-41BEBF8C48B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803277" y="2427488"/>
          <a:ext cx="908383" cy="280440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9"/>
  <sheetViews>
    <sheetView tabSelected="1" topLeftCell="A87" zoomScale="68" workbookViewId="0">
      <selection activeCell="L16" sqref="L16"/>
    </sheetView>
  </sheetViews>
  <sheetFormatPr defaultRowHeight="13.9" x14ac:dyDescent="0.4"/>
  <sheetData>
    <row r="1" spans="1:15" x14ac:dyDescent="0.4">
      <c r="A1" t="s">
        <v>9</v>
      </c>
      <c r="C1">
        <v>0</v>
      </c>
      <c r="E1">
        <v>2.5</v>
      </c>
      <c r="G1">
        <v>5</v>
      </c>
      <c r="I1">
        <v>1</v>
      </c>
      <c r="J1">
        <v>3</v>
      </c>
      <c r="K1">
        <v>4</v>
      </c>
      <c r="L1">
        <v>3.3420000000000001</v>
      </c>
      <c r="M1">
        <v>2.67</v>
      </c>
      <c r="N1">
        <v>2.2400000000000002</v>
      </c>
      <c r="O1">
        <v>2.75</v>
      </c>
    </row>
    <row r="2" spans="1:15" x14ac:dyDescent="0.4">
      <c r="A2" t="s">
        <v>0</v>
      </c>
      <c r="C2" s="1" t="s">
        <v>7</v>
      </c>
      <c r="E2" s="1" t="s">
        <v>16</v>
      </c>
      <c r="G2" s="1" t="s">
        <v>8</v>
      </c>
      <c r="N2" s="1">
        <v>184</v>
      </c>
      <c r="O2" s="1">
        <v>204</v>
      </c>
    </row>
    <row r="3" spans="1:15" x14ac:dyDescent="0.4">
      <c r="A3" t="s">
        <v>1</v>
      </c>
      <c r="J3" s="1">
        <v>200</v>
      </c>
      <c r="L3" s="1">
        <v>210</v>
      </c>
      <c r="M3" s="1">
        <v>190</v>
      </c>
    </row>
    <row r="4" spans="1:15" x14ac:dyDescent="0.4">
      <c r="A4" t="s">
        <v>5</v>
      </c>
      <c r="C4" s="1">
        <v>115.5</v>
      </c>
      <c r="E4">
        <v>399</v>
      </c>
      <c r="G4" s="1">
        <v>682.4</v>
      </c>
    </row>
    <row r="5" spans="1:15" x14ac:dyDescent="0.4">
      <c r="A5" t="s">
        <v>2</v>
      </c>
      <c r="C5" s="1" t="s">
        <v>14</v>
      </c>
      <c r="E5" s="1" t="s">
        <v>17</v>
      </c>
      <c r="G5" s="1" t="s">
        <v>15</v>
      </c>
    </row>
    <row r="6" spans="1:15" x14ac:dyDescent="0.4">
      <c r="A6" t="s">
        <v>6</v>
      </c>
      <c r="C6" s="1">
        <v>0.14299999999999999</v>
      </c>
      <c r="E6">
        <v>0.53</v>
      </c>
      <c r="G6" s="1">
        <v>1.022</v>
      </c>
    </row>
    <row r="7" spans="1:15" x14ac:dyDescent="0.4">
      <c r="A7" t="s">
        <v>10</v>
      </c>
      <c r="C7" s="1">
        <v>13.9</v>
      </c>
      <c r="E7" s="1">
        <v>18.28</v>
      </c>
      <c r="G7" s="2">
        <v>26.5</v>
      </c>
      <c r="I7" s="2">
        <v>14.8</v>
      </c>
      <c r="J7" s="1">
        <v>19.989999999999998</v>
      </c>
      <c r="K7" s="1">
        <v>23.1</v>
      </c>
    </row>
    <row r="8" spans="1:15" x14ac:dyDescent="0.4">
      <c r="A8" t="s">
        <v>11</v>
      </c>
      <c r="C8" s="1">
        <v>1.3</v>
      </c>
      <c r="E8" s="1">
        <v>2.15</v>
      </c>
    </row>
    <row r="9" spans="1:15" x14ac:dyDescent="0.4">
      <c r="A9" t="s">
        <v>4</v>
      </c>
      <c r="C9" s="1">
        <v>72.8</v>
      </c>
      <c r="E9" s="1">
        <v>112</v>
      </c>
      <c r="G9" s="2">
        <v>159.30000000000001</v>
      </c>
    </row>
    <row r="10" spans="1:15" x14ac:dyDescent="0.4">
      <c r="A10" t="s">
        <v>12</v>
      </c>
      <c r="E10" s="1">
        <v>38.200000000000003</v>
      </c>
    </row>
    <row r="11" spans="1:15" x14ac:dyDescent="0.4">
      <c r="A11" t="s">
        <v>13</v>
      </c>
      <c r="E11" s="1">
        <v>5.391</v>
      </c>
    </row>
    <row r="13" spans="1:15" x14ac:dyDescent="0.4">
      <c r="A13" t="s">
        <v>23</v>
      </c>
      <c r="C13">
        <v>1.3</v>
      </c>
      <c r="E13" s="2">
        <v>5.0999999999999996</v>
      </c>
      <c r="G13">
        <v>9.6</v>
      </c>
    </row>
    <row r="14" spans="1:15" x14ac:dyDescent="0.4">
      <c r="A14" t="s">
        <v>24</v>
      </c>
      <c r="C14">
        <v>12</v>
      </c>
      <c r="G14">
        <v>35</v>
      </c>
    </row>
    <row r="15" spans="1:15" x14ac:dyDescent="0.4">
      <c r="A15" t="s">
        <v>25</v>
      </c>
      <c r="C15">
        <v>73</v>
      </c>
      <c r="G15">
        <v>81</v>
      </c>
    </row>
    <row r="16" spans="1:15" x14ac:dyDescent="0.4">
      <c r="A16" t="s">
        <v>26</v>
      </c>
      <c r="C16">
        <v>7.8</v>
      </c>
      <c r="G16">
        <v>22</v>
      </c>
    </row>
    <row r="17" spans="1:7" x14ac:dyDescent="0.4">
      <c r="A17" t="s">
        <v>33</v>
      </c>
      <c r="C17">
        <v>28</v>
      </c>
      <c r="E17">
        <v>96</v>
      </c>
      <c r="G17">
        <v>176</v>
      </c>
    </row>
    <row r="18" spans="1:7" x14ac:dyDescent="0.4">
      <c r="A18" t="s">
        <v>34</v>
      </c>
      <c r="C18">
        <v>3.5</v>
      </c>
      <c r="E18">
        <v>14.3</v>
      </c>
      <c r="G18">
        <v>25.2</v>
      </c>
    </row>
    <row r="19" spans="1:7" x14ac:dyDescent="0.4">
      <c r="A19" t="s">
        <v>39</v>
      </c>
      <c r="C19">
        <v>1.4</v>
      </c>
    </row>
    <row r="20" spans="1:7" x14ac:dyDescent="0.4">
      <c r="A20" t="s">
        <v>41</v>
      </c>
      <c r="C20">
        <v>0.125</v>
      </c>
    </row>
    <row r="21" spans="1:7" x14ac:dyDescent="0.4">
      <c r="A21" t="s">
        <v>40</v>
      </c>
      <c r="C21">
        <v>11.9</v>
      </c>
    </row>
    <row r="22" spans="1:7" x14ac:dyDescent="0.4">
      <c r="A22" t="s">
        <v>36</v>
      </c>
      <c r="C22">
        <v>1.2</v>
      </c>
    </row>
    <row r="23" spans="1:7" x14ac:dyDescent="0.4">
      <c r="A23" t="s">
        <v>37</v>
      </c>
      <c r="C23">
        <v>8</v>
      </c>
    </row>
    <row r="26" spans="1:7" x14ac:dyDescent="0.4">
      <c r="A26" t="s">
        <v>19</v>
      </c>
      <c r="B26" t="s">
        <v>18</v>
      </c>
      <c r="D26" t="s">
        <v>20</v>
      </c>
      <c r="E26" t="s">
        <v>21</v>
      </c>
    </row>
    <row r="27" spans="1:7" x14ac:dyDescent="0.4">
      <c r="A27" t="s">
        <v>22</v>
      </c>
      <c r="D27">
        <f>10</f>
        <v>10</v>
      </c>
      <c r="E27">
        <v>7.4</v>
      </c>
    </row>
    <row r="28" spans="1:7" x14ac:dyDescent="0.4">
      <c r="D28">
        <v>1</v>
      </c>
      <c r="E28">
        <v>1.9</v>
      </c>
    </row>
    <row r="29" spans="1:7" x14ac:dyDescent="0.4">
      <c r="D29">
        <v>1.5</v>
      </c>
      <c r="E29">
        <v>2.2999999999999998</v>
      </c>
    </row>
    <row r="30" spans="1:7" x14ac:dyDescent="0.4">
      <c r="D30">
        <v>0.1</v>
      </c>
      <c r="E30">
        <v>1.1000000000000001</v>
      </c>
    </row>
    <row r="31" spans="1:7" x14ac:dyDescent="0.4">
      <c r="D31">
        <v>2.2000000000000002</v>
      </c>
      <c r="E31">
        <v>2.8</v>
      </c>
    </row>
    <row r="47" spans="1:4" x14ac:dyDescent="0.4">
      <c r="A47" t="s">
        <v>27</v>
      </c>
      <c r="D47" t="s">
        <v>28</v>
      </c>
    </row>
    <row r="48" spans="1:4" x14ac:dyDescent="0.4">
      <c r="A48" t="s">
        <v>29</v>
      </c>
      <c r="B48" t="s">
        <v>31</v>
      </c>
      <c r="C48" t="s">
        <v>32</v>
      </c>
    </row>
    <row r="49" spans="1:3" x14ac:dyDescent="0.4">
      <c r="B49">
        <v>0.1</v>
      </c>
      <c r="C49">
        <v>115.5</v>
      </c>
    </row>
    <row r="50" spans="1:3" x14ac:dyDescent="0.4">
      <c r="B50">
        <v>1</v>
      </c>
      <c r="C50">
        <v>13.9</v>
      </c>
    </row>
    <row r="51" spans="1:3" x14ac:dyDescent="0.4">
      <c r="B51">
        <v>100</v>
      </c>
      <c r="C51">
        <v>0.14299999999999999</v>
      </c>
    </row>
    <row r="52" spans="1:3" x14ac:dyDescent="0.4">
      <c r="B52">
        <v>0.47</v>
      </c>
      <c r="C52">
        <v>28</v>
      </c>
    </row>
    <row r="53" spans="1:3" x14ac:dyDescent="0.4">
      <c r="B53">
        <v>3.3</v>
      </c>
      <c r="C53">
        <v>3.5</v>
      </c>
    </row>
    <row r="54" spans="1:3" x14ac:dyDescent="0.4">
      <c r="B54">
        <v>10</v>
      </c>
      <c r="C54">
        <v>1.2</v>
      </c>
    </row>
    <row r="55" spans="1:3" x14ac:dyDescent="0.4">
      <c r="A55" t="s">
        <v>35</v>
      </c>
      <c r="B55">
        <v>0.47</v>
      </c>
      <c r="C55">
        <v>158</v>
      </c>
    </row>
    <row r="56" spans="1:3" x14ac:dyDescent="0.4">
      <c r="B56">
        <v>1</v>
      </c>
      <c r="C56">
        <v>72.8</v>
      </c>
    </row>
    <row r="57" spans="1:3" x14ac:dyDescent="0.4">
      <c r="B57">
        <v>10</v>
      </c>
      <c r="C57">
        <v>8.6999999999999993</v>
      </c>
    </row>
    <row r="58" spans="1:3" x14ac:dyDescent="0.4">
      <c r="A58" t="s">
        <v>38</v>
      </c>
      <c r="B58">
        <v>0.1</v>
      </c>
      <c r="C58">
        <v>11.9</v>
      </c>
    </row>
    <row r="59" spans="1:3" x14ac:dyDescent="0.4">
      <c r="B59">
        <v>1</v>
      </c>
      <c r="C59">
        <v>1.4</v>
      </c>
    </row>
    <row r="60" spans="1:3" x14ac:dyDescent="0.4">
      <c r="B60">
        <v>10</v>
      </c>
      <c r="C60">
        <v>0.125</v>
      </c>
    </row>
    <row r="65" spans="1:3" x14ac:dyDescent="0.4">
      <c r="A65" t="s">
        <v>42</v>
      </c>
      <c r="C65" t="s">
        <v>29</v>
      </c>
    </row>
    <row r="66" spans="1:3" x14ac:dyDescent="0.4">
      <c r="A66" t="s">
        <v>29</v>
      </c>
    </row>
    <row r="67" spans="1:3" x14ac:dyDescent="0.4">
      <c r="A67" t="s">
        <v>43</v>
      </c>
      <c r="B67" t="s">
        <v>30</v>
      </c>
      <c r="C67" t="s">
        <v>32</v>
      </c>
    </row>
    <row r="68" spans="1:3" x14ac:dyDescent="0.4">
      <c r="B68">
        <v>0.1</v>
      </c>
      <c r="C68">
        <v>399</v>
      </c>
    </row>
    <row r="69" spans="1:3" x14ac:dyDescent="0.4">
      <c r="B69">
        <v>1</v>
      </c>
      <c r="C69">
        <v>46.8</v>
      </c>
    </row>
    <row r="70" spans="1:3" x14ac:dyDescent="0.4">
      <c r="B70">
        <v>100</v>
      </c>
      <c r="C70">
        <v>0.53</v>
      </c>
    </row>
    <row r="71" spans="1:3" x14ac:dyDescent="0.4">
      <c r="B71">
        <v>0.47</v>
      </c>
      <c r="C71">
        <v>96</v>
      </c>
    </row>
    <row r="72" spans="1:3" x14ac:dyDescent="0.4">
      <c r="B72">
        <v>3.3</v>
      </c>
      <c r="C72">
        <v>14.3</v>
      </c>
    </row>
    <row r="73" spans="1:3" x14ac:dyDescent="0.4">
      <c r="A73" t="s">
        <v>44</v>
      </c>
      <c r="B73" t="s">
        <v>30</v>
      </c>
    </row>
    <row r="74" spans="1:3" x14ac:dyDescent="0.4">
      <c r="B74">
        <v>1</v>
      </c>
      <c r="C74">
        <v>18.28</v>
      </c>
    </row>
    <row r="75" spans="1:3" x14ac:dyDescent="0.4">
      <c r="B75">
        <v>0.47</v>
      </c>
      <c r="C75">
        <v>38.200000000000003</v>
      </c>
    </row>
    <row r="76" spans="1:3" x14ac:dyDescent="0.4">
      <c r="B76">
        <v>3.3</v>
      </c>
      <c r="C76">
        <v>5.391</v>
      </c>
    </row>
    <row r="82" spans="1:3" x14ac:dyDescent="0.4">
      <c r="A82" t="s">
        <v>45</v>
      </c>
    </row>
    <row r="83" spans="1:3" x14ac:dyDescent="0.4">
      <c r="A83" t="s">
        <v>48</v>
      </c>
    </row>
    <row r="84" spans="1:3" x14ac:dyDescent="0.4">
      <c r="B84">
        <v>0</v>
      </c>
      <c r="C84">
        <v>12.91</v>
      </c>
    </row>
    <row r="85" spans="1:3" x14ac:dyDescent="0.4">
      <c r="B85">
        <v>2.5</v>
      </c>
      <c r="C85">
        <v>46.8</v>
      </c>
    </row>
    <row r="86" spans="1:3" x14ac:dyDescent="0.4">
      <c r="B86">
        <v>5</v>
      </c>
      <c r="C86">
        <v>89.36</v>
      </c>
    </row>
    <row r="88" spans="1:3" x14ac:dyDescent="0.4">
      <c r="A88" t="s">
        <v>49</v>
      </c>
    </row>
    <row r="89" spans="1:3" x14ac:dyDescent="0.4">
      <c r="B89">
        <v>0</v>
      </c>
      <c r="C89">
        <v>115.5</v>
      </c>
    </row>
    <row r="90" spans="1:3" x14ac:dyDescent="0.4">
      <c r="B90">
        <v>2.5</v>
      </c>
      <c r="C90">
        <v>399</v>
      </c>
    </row>
    <row r="91" spans="1:3" x14ac:dyDescent="0.4">
      <c r="B91">
        <v>5</v>
      </c>
      <c r="C91">
        <v>682.4</v>
      </c>
    </row>
    <row r="93" spans="1:3" x14ac:dyDescent="0.4">
      <c r="A93" t="s">
        <v>50</v>
      </c>
    </row>
    <row r="94" spans="1:3" x14ac:dyDescent="0.4">
      <c r="B94">
        <v>0</v>
      </c>
      <c r="C94">
        <v>3.5</v>
      </c>
    </row>
    <row r="95" spans="1:3" x14ac:dyDescent="0.4">
      <c r="B95">
        <v>2.5</v>
      </c>
      <c r="C95">
        <v>14.3</v>
      </c>
    </row>
    <row r="96" spans="1:3" x14ac:dyDescent="0.4">
      <c r="B96">
        <v>5</v>
      </c>
      <c r="C96">
        <v>25.2</v>
      </c>
    </row>
    <row r="97" spans="1:3" x14ac:dyDescent="0.4">
      <c r="A97" t="s">
        <v>46</v>
      </c>
    </row>
    <row r="98" spans="1:3" x14ac:dyDescent="0.4">
      <c r="B98" t="s">
        <v>47</v>
      </c>
      <c r="C98" t="s">
        <v>32</v>
      </c>
    </row>
    <row r="99" spans="1:3" x14ac:dyDescent="0.4">
      <c r="B99">
        <v>0</v>
      </c>
      <c r="C99">
        <v>13.9</v>
      </c>
    </row>
    <row r="100" spans="1:3" x14ac:dyDescent="0.4">
      <c r="B100">
        <v>1</v>
      </c>
      <c r="C100">
        <v>14.8</v>
      </c>
    </row>
    <row r="101" spans="1:3" x14ac:dyDescent="0.4">
      <c r="B101">
        <v>2.5</v>
      </c>
      <c r="C101">
        <v>18.28</v>
      </c>
    </row>
    <row r="102" spans="1:3" x14ac:dyDescent="0.4">
      <c r="B102">
        <v>3</v>
      </c>
      <c r="C102">
        <v>19.989999999999998</v>
      </c>
    </row>
    <row r="103" spans="1:3" x14ac:dyDescent="0.4">
      <c r="B103">
        <v>4</v>
      </c>
      <c r="C103">
        <v>23.1</v>
      </c>
    </row>
    <row r="104" spans="1:3" x14ac:dyDescent="0.4">
      <c r="B104">
        <v>5</v>
      </c>
      <c r="C104">
        <v>26.5</v>
      </c>
    </row>
    <row r="105" spans="1:3" x14ac:dyDescent="0.4">
      <c r="A105" t="s">
        <v>3</v>
      </c>
    </row>
    <row r="106" spans="1:3" x14ac:dyDescent="0.4">
      <c r="B106">
        <v>0</v>
      </c>
      <c r="C106">
        <v>72.8</v>
      </c>
    </row>
    <row r="107" spans="1:3" x14ac:dyDescent="0.4">
      <c r="B107">
        <v>2.5</v>
      </c>
      <c r="C107">
        <v>112</v>
      </c>
    </row>
    <row r="108" spans="1:3" x14ac:dyDescent="0.4">
      <c r="B108">
        <v>5</v>
      </c>
      <c r="C108">
        <v>159.30000000000001</v>
      </c>
    </row>
    <row r="110" spans="1:3" x14ac:dyDescent="0.4">
      <c r="A110" t="s">
        <v>51</v>
      </c>
      <c r="B110">
        <v>0</v>
      </c>
      <c r="C110">
        <v>1.3</v>
      </c>
    </row>
    <row r="111" spans="1:3" x14ac:dyDescent="0.4">
      <c r="B111">
        <v>2.5</v>
      </c>
      <c r="C111">
        <v>5.0999999999999996</v>
      </c>
    </row>
    <row r="112" spans="1:3" x14ac:dyDescent="0.4">
      <c r="B112">
        <v>5</v>
      </c>
      <c r="C112">
        <v>9.6</v>
      </c>
    </row>
    <row r="119" spans="1:1" x14ac:dyDescent="0.4">
      <c r="A119" t="s">
        <v>52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Haoyang Huang</cp:lastModifiedBy>
  <dcterms:created xsi:type="dcterms:W3CDTF">2015-06-05T18:17:20Z</dcterms:created>
  <dcterms:modified xsi:type="dcterms:W3CDTF">2026-02-26T15:56:15Z</dcterms:modified>
</cp:coreProperties>
</file>