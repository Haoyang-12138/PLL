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PLL\"/>
    </mc:Choice>
  </mc:AlternateContent>
  <xr:revisionPtr revIDLastSave="0" documentId="13_ncr:1_{5DE8CDC6-5259-4AF0-8147-0B5E70AB010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4" i="1"/>
  <c r="F32" i="1"/>
  <c r="E8" i="1"/>
  <c r="E9" i="1"/>
  <c r="E7" i="1"/>
  <c r="C3" i="1"/>
  <c r="E4" i="1"/>
  <c r="E5" i="1"/>
  <c r="E6" i="1"/>
  <c r="E3" i="1"/>
</calcChain>
</file>

<file path=xl/sharedStrings.xml><?xml version="1.0" encoding="utf-8"?>
<sst xmlns="http://schemas.openxmlformats.org/spreadsheetml/2006/main" count="8" uniqueCount="5">
  <si>
    <t>Phase Difference (Degree)</t>
    <phoneticPr fontId="1" type="noConversion"/>
  </si>
  <si>
    <t>Mean Output Voltage (V)</t>
    <phoneticPr fontId="1" type="noConversion"/>
  </si>
  <si>
    <t>Type 1 Comparator</t>
    <phoneticPr fontId="1" type="noConversion"/>
  </si>
  <si>
    <t>Theory</t>
    <phoneticPr fontId="1" type="noConversion"/>
  </si>
  <si>
    <t>Type 2 Comparator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</si>
</sst>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Phase</a:t>
            </a:r>
            <a:r>
              <a:rPr lang="en-GB" altLang="zh-CN" baseline="0"/>
              <a:t> 1 Comparator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452221763775127"/>
                  <c:y val="0.1299205307669874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y = 0.027x + 0.01</a:t>
                    </a:r>
                    <a:br>
                      <a:rPr lang="en-US" altLang="zh-CN" baseline="0"/>
                    </a:br>
                    <a:r>
                      <a:rPr lang="en-US" altLang="zh-CN" baseline="0"/>
                      <a:t>R² = 0.9956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Sheet1!$A$2:$A$6</c:f>
              <c:numCache>
                <c:formatCode>General</c:formatCode>
                <c:ptCount val="5"/>
                <c:pt idx="0">
                  <c:v>0</c:v>
                </c:pt>
                <c:pt idx="1">
                  <c:v>45</c:v>
                </c:pt>
                <c:pt idx="2">
                  <c:v>90</c:v>
                </c:pt>
                <c:pt idx="3">
                  <c:v>135</c:v>
                </c:pt>
                <c:pt idx="4">
                  <c:v>180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0</c:v>
                </c:pt>
                <c:pt idx="1">
                  <c:v>1.35</c:v>
                </c:pt>
                <c:pt idx="2">
                  <c:v>2.35</c:v>
                </c:pt>
                <c:pt idx="3">
                  <c:v>3.5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6A-49BF-B901-201472716EE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3396033471657046E-2"/>
                  <c:y val="-0.247174832312627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Sheet1!$A$6:$A$9</c:f>
              <c:numCache>
                <c:formatCode>General</c:formatCode>
                <c:ptCount val="4"/>
                <c:pt idx="0">
                  <c:v>180</c:v>
                </c:pt>
                <c:pt idx="1">
                  <c:v>225</c:v>
                </c:pt>
                <c:pt idx="2">
                  <c:v>270</c:v>
                </c:pt>
                <c:pt idx="3">
                  <c:v>315</c:v>
                </c:pt>
              </c:numCache>
            </c:numRef>
          </c:xVal>
          <c:yVal>
            <c:numRef>
              <c:f>Sheet1!$C$6:$C$9</c:f>
              <c:numCache>
                <c:formatCode>General</c:formatCode>
                <c:ptCount val="4"/>
                <c:pt idx="0">
                  <c:v>5</c:v>
                </c:pt>
                <c:pt idx="1">
                  <c:v>3.5</c:v>
                </c:pt>
                <c:pt idx="2">
                  <c:v>2.33</c:v>
                </c:pt>
                <c:pt idx="3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6A-49BF-B901-201472716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60255"/>
        <c:axId val="382311471"/>
      </c:scatterChart>
      <c:valAx>
        <c:axId val="22526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Phase</a:t>
                </a:r>
                <a:r>
                  <a:rPr lang="en-GB" altLang="zh-CN" baseline="0"/>
                  <a:t> Difference (Degrees)</a:t>
                </a:r>
                <a:endParaRPr lang="en-GB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2311471"/>
        <c:crosses val="autoZero"/>
        <c:crossBetween val="midCat"/>
      </c:valAx>
      <c:valAx>
        <c:axId val="38231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Average</a:t>
                </a:r>
                <a:r>
                  <a:rPr lang="en-GB" altLang="zh-CN" baseline="0"/>
                  <a:t> Voltage (V)</a:t>
                </a:r>
                <a:endParaRPr lang="en-GB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526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P</a:t>
            </a:r>
            <a:r>
              <a:rPr lang="en-US" altLang="zh-CN"/>
              <a:t>hase 2 Comparator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510347331055257E-2"/>
                  <c:y val="0.2517795204010485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y = 0.0071x + 2.4767</a:t>
                    </a:r>
                    <a:br>
                      <a:rPr lang="en-US" altLang="zh-CN" baseline="0"/>
                    </a:br>
                    <a:r>
                      <a:rPr lang="en-US" altLang="zh-CN" baseline="0"/>
                      <a:t>R² = 0.9997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y"/>
            <c:errBarType val="both"/>
            <c:errValType val="percentage"/>
            <c:noEndCap val="0"/>
            <c:val val="0.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Sheet1!$A$32:$A$34</c:f>
              <c:numCache>
                <c:formatCode>General</c:formatCode>
                <c:ptCount val="3"/>
                <c:pt idx="0">
                  <c:v>45</c:v>
                </c:pt>
                <c:pt idx="1">
                  <c:v>90</c:v>
                </c:pt>
                <c:pt idx="2">
                  <c:v>135</c:v>
                </c:pt>
              </c:numCache>
            </c:numRef>
          </c:xVal>
          <c:yVal>
            <c:numRef>
              <c:f>Sheet1!$C$32:$C$34</c:f>
              <c:numCache>
                <c:formatCode>General</c:formatCode>
                <c:ptCount val="3"/>
                <c:pt idx="0">
                  <c:v>2.8</c:v>
                </c:pt>
                <c:pt idx="1">
                  <c:v>3.11</c:v>
                </c:pt>
                <c:pt idx="2">
                  <c:v>3.44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55-4EAB-826A-2DCDDC7EA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611216"/>
        <c:axId val="586770416"/>
      </c:scatterChart>
      <c:valAx>
        <c:axId val="22361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Phase Difference (Degree)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6770416"/>
        <c:crosses val="autoZero"/>
        <c:crossBetween val="midCat"/>
      </c:valAx>
      <c:valAx>
        <c:axId val="586770416"/>
        <c:scaling>
          <c:orientation val="minMax"/>
          <c:max val="3.5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Mean Output Voltage/V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361121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502442</xdr:colOff>
      <xdr:row>11</xdr:row>
      <xdr:rowOff>11905</xdr:rowOff>
    </xdr:from>
    <xdr:to>
      <xdr:col>11</xdr:col>
      <xdr:colOff>119063</xdr:colOff>
      <xdr:row>26</xdr:row>
      <xdr:rowOff>111918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BF160-920B-6879-FA52-7EE332F91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34746</xdr:colOff>
      <xdr:row>35</xdr:row>
      <xdr:rowOff>124015</xdr:rowOff>
    </xdr:from>
    <xdr:to>
      <xdr:col>11</xdr:col>
      <xdr:colOff>69142</xdr:colOff>
      <xdr:row>51</xdr:row>
      <xdr:rowOff>64228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5AF8A9-9A66-A7B2-3081-C70BBBE6B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22" zoomScale="85" workbookViewId="0">
      <selection activeCell="A32" sqref="A32:H34"/>
    </sheetView>
  </sheetViews>
  <sheetFormatPr defaultRowHeight="13.9" x14ac:dyDescent="0.4"/>
  <sheetData>
    <row r="1" spans="1:6" x14ac:dyDescent="0.4">
      <c r="A1" t="s">
        <v>0</v>
      </c>
      <c r="C1" t="s">
        <v>1</v>
      </c>
      <c r="E1" t="s">
        <v>3</v>
      </c>
      <c r="F1" t="s">
        <v>2</v>
      </c>
    </row>
    <row r="2" spans="1:6" x14ac:dyDescent="0.4">
      <c r="A2">
        <v>0</v>
      </c>
      <c r="C2">
        <v>0</v>
      </c>
      <c r="E2">
        <v>0</v>
      </c>
    </row>
    <row r="3" spans="1:6" x14ac:dyDescent="0.4">
      <c r="A3">
        <v>45</v>
      </c>
      <c r="C3">
        <f>1.35</f>
        <v>1.35</v>
      </c>
      <c r="E3">
        <f>A3/180*5</f>
        <v>1.25</v>
      </c>
    </row>
    <row r="4" spans="1:6" x14ac:dyDescent="0.4">
      <c r="A4">
        <v>90</v>
      </c>
      <c r="C4">
        <v>2.35</v>
      </c>
      <c r="E4">
        <f t="shared" ref="E4:E6" si="0">A4/180*5</f>
        <v>2.5</v>
      </c>
    </row>
    <row r="5" spans="1:6" x14ac:dyDescent="0.4">
      <c r="A5">
        <v>135</v>
      </c>
      <c r="C5">
        <v>3.5</v>
      </c>
      <c r="E5">
        <f t="shared" si="0"/>
        <v>3.75</v>
      </c>
    </row>
    <row r="6" spans="1:6" x14ac:dyDescent="0.4">
      <c r="A6">
        <v>180</v>
      </c>
      <c r="C6">
        <v>5</v>
      </c>
      <c r="E6">
        <f t="shared" si="0"/>
        <v>5</v>
      </c>
    </row>
    <row r="7" spans="1:6" x14ac:dyDescent="0.4">
      <c r="A7">
        <v>225</v>
      </c>
      <c r="C7">
        <v>3.5</v>
      </c>
      <c r="E7">
        <f>(360-A7)/180*5</f>
        <v>3.75</v>
      </c>
    </row>
    <row r="8" spans="1:6" x14ac:dyDescent="0.4">
      <c r="A8">
        <v>270</v>
      </c>
      <c r="C8">
        <v>2.33</v>
      </c>
      <c r="E8">
        <f t="shared" ref="E8:E9" si="1">(360-A8)/180*5</f>
        <v>2.5</v>
      </c>
    </row>
    <row r="9" spans="1:6" x14ac:dyDescent="0.4">
      <c r="A9">
        <v>315</v>
      </c>
      <c r="C9">
        <v>1.3</v>
      </c>
      <c r="E9">
        <f t="shared" si="1"/>
        <v>1.25</v>
      </c>
    </row>
    <row r="29" spans="1:6" x14ac:dyDescent="0.4">
      <c r="A29" t="s">
        <v>0</v>
      </c>
      <c r="C29" t="s">
        <v>1</v>
      </c>
      <c r="E29" t="s">
        <v>3</v>
      </c>
      <c r="F29" t="s">
        <v>4</v>
      </c>
    </row>
    <row r="32" spans="1:6" x14ac:dyDescent="0.4">
      <c r="A32">
        <v>45</v>
      </c>
      <c r="C32">
        <v>2.8</v>
      </c>
      <c r="E32">
        <v>2.8125</v>
      </c>
      <c r="F32">
        <f>2.5+2.5*A32/360</f>
        <v>2.8125</v>
      </c>
    </row>
    <row r="33" spans="1:6" x14ac:dyDescent="0.4">
      <c r="A33">
        <v>90</v>
      </c>
      <c r="C33">
        <v>3.11</v>
      </c>
      <c r="E33">
        <v>3.125</v>
      </c>
      <c r="F33">
        <f t="shared" ref="F33:F34" si="2">2.5+2.5*A33/360</f>
        <v>3.125</v>
      </c>
    </row>
    <row r="34" spans="1:6" x14ac:dyDescent="0.4">
      <c r="A34">
        <v>135</v>
      </c>
      <c r="C34">
        <v>3.44</v>
      </c>
      <c r="E34">
        <v>3.4375</v>
      </c>
      <c r="F34">
        <f t="shared" si="2"/>
        <v>3.4375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Haoyang Huang</cp:lastModifiedBy>
  <dcterms:created xsi:type="dcterms:W3CDTF">2015-06-05T18:17:20Z</dcterms:created>
  <dcterms:modified xsi:type="dcterms:W3CDTF">2026-02-26T09:06:39Z</dcterms:modified>
</cp:coreProperties>
</file>