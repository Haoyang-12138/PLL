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PLL\"/>
    </mc:Choice>
  </mc:AlternateContent>
  <xr:revisionPtr revIDLastSave="0" documentId="13_ncr:1_{94B90BA3-45D2-48D1-8F13-2F475DD93F7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C22" i="1"/>
  <c r="C23" i="1"/>
  <c r="C24" i="1"/>
  <c r="C17" i="1"/>
  <c r="C3" i="1"/>
  <c r="C4" i="1"/>
  <c r="C5" i="1"/>
  <c r="C6" i="1"/>
  <c r="C7" i="1"/>
  <c r="C8" i="1"/>
  <c r="C9" i="1"/>
  <c r="C10" i="1"/>
  <c r="C11" i="1"/>
  <c r="C12" i="1"/>
  <c r="C13" i="1"/>
</calcChain>
</file>

<file path=xl/sharedStrings.xml><?xml version="1.0" encoding="utf-8"?>
<sst xmlns="http://schemas.openxmlformats.org/spreadsheetml/2006/main" count="9" uniqueCount="9">
  <si>
    <t>Frequency/kHz</t>
    <phoneticPr fontId="1" type="noConversion"/>
  </si>
  <si>
    <t>Degree</t>
    <phoneticPr fontId="1" type="noConversion"/>
  </si>
  <si>
    <t>Phase</t>
    <phoneticPr fontId="1" type="noConversion"/>
  </si>
  <si>
    <t>10k, 100k, 1nF</t>
    <phoneticPr fontId="1" type="noConversion"/>
  </si>
  <si>
    <t>10k,100k, 100nF</t>
    <phoneticPr fontId="1" type="noConversion"/>
  </si>
  <si>
    <t>7.5 Phase Difference for PS2</t>
    <phoneticPr fontId="1" type="noConversion"/>
  </si>
  <si>
    <t>PC1</t>
    <phoneticPr fontId="1" type="noConversion"/>
  </si>
  <si>
    <t>10k,100k,1000pF</t>
    <phoneticPr fontId="1" type="noConversion"/>
  </si>
  <si>
    <t>13.9-46.8-95.4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</si>
</sst>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3.3422538087488838</c:v>
                </c:pt>
                <c:pt idx="1">
                  <c:v>3.9788735818439096</c:v>
                </c:pt>
                <c:pt idx="2">
                  <c:v>4.4563384116651781</c:v>
                </c:pt>
                <c:pt idx="3">
                  <c:v>5.1725356563970823</c:v>
                </c:pt>
                <c:pt idx="4">
                  <c:v>5.9205638897837352</c:v>
                </c:pt>
                <c:pt idx="5">
                  <c:v>7.4484513452118</c:v>
                </c:pt>
                <c:pt idx="6">
                  <c:v>7.9577471636878192</c:v>
                </c:pt>
                <c:pt idx="7">
                  <c:v>9.23098670987787</c:v>
                </c:pt>
                <c:pt idx="8">
                  <c:v>10.822536142615434</c:v>
                </c:pt>
                <c:pt idx="9">
                  <c:v>13.846480064816804</c:v>
                </c:pt>
                <c:pt idx="10">
                  <c:v>15.119719611006856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6-4ED5-9CEA-58D4CAD6B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173904"/>
        <c:axId val="608034976"/>
      </c:scatterChart>
      <c:valAx>
        <c:axId val="60817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8034976"/>
        <c:crosses val="autoZero"/>
        <c:crossBetween val="midCat"/>
      </c:valAx>
      <c:valAx>
        <c:axId val="6080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817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Sheet1!$A$17:$A$24</c:f>
              <c:numCache>
                <c:formatCode>General</c:formatCode>
                <c:ptCount val="8"/>
                <c:pt idx="0">
                  <c:v>500</c:v>
                </c:pt>
                <c:pt idx="1">
                  <c:v>550</c:v>
                </c:pt>
                <c:pt idx="2">
                  <c:v>600</c:v>
                </c:pt>
                <c:pt idx="3">
                  <c:v>650</c:v>
                </c:pt>
                <c:pt idx="4">
                  <c:v>700</c:v>
                </c:pt>
                <c:pt idx="5">
                  <c:v>750</c:v>
                </c:pt>
                <c:pt idx="6">
                  <c:v>800</c:v>
                </c:pt>
                <c:pt idx="7">
                  <c:v>900</c:v>
                </c:pt>
              </c:numCache>
            </c:numRef>
          </c:xVal>
          <c:yVal>
            <c:numRef>
              <c:f>Sheet1!$C$17:$C$24</c:f>
              <c:numCache>
                <c:formatCode>General</c:formatCode>
                <c:ptCount val="8"/>
                <c:pt idx="0">
                  <c:v>5.5704230145814728</c:v>
                </c:pt>
                <c:pt idx="1">
                  <c:v>6.2070427876764986</c:v>
                </c:pt>
                <c:pt idx="2">
                  <c:v>6.970986515390531</c:v>
                </c:pt>
                <c:pt idx="3">
                  <c:v>6.4616906969145127</c:v>
                </c:pt>
                <c:pt idx="4">
                  <c:v>7.6394372771403063</c:v>
                </c:pt>
                <c:pt idx="5">
                  <c:v>9.8994374716276443</c:v>
                </c:pt>
                <c:pt idx="6">
                  <c:v>11.220423500799825</c:v>
                </c:pt>
                <c:pt idx="7">
                  <c:v>14.705916758495086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C-46FC-AC9C-FE6577A4C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49328"/>
        <c:axId val="844897024"/>
      </c:scatterChart>
      <c:valAx>
        <c:axId val="848649328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4897024"/>
        <c:crosses val="autoZero"/>
        <c:crossBetween val="midCat"/>
      </c:valAx>
      <c:valAx>
        <c:axId val="8448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864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/>
              <a:t>Type-1</a:t>
            </a:r>
            <a:r>
              <a:rPr lang="en-GB" altLang="zh-CN" baseline="0"/>
              <a:t> Phase Comparator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136498269608503E-2"/>
                  <c:y val="0.16432989690721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Sheet1!$A$31:$A$35</c:f>
              <c:numCache>
                <c:formatCode>General</c:formatCode>
                <c:ptCount val="5"/>
                <c:pt idx="0">
                  <c:v>26</c:v>
                </c:pt>
                <c:pt idx="1">
                  <c:v>30</c:v>
                </c:pt>
                <c:pt idx="2">
                  <c:v>50</c:v>
                </c:pt>
                <c:pt idx="3">
                  <c:v>60</c:v>
                </c:pt>
                <c:pt idx="4">
                  <c:v>43</c:v>
                </c:pt>
              </c:numCache>
            </c:numRef>
          </c:xVal>
          <c:yVal>
            <c:numRef>
              <c:f>Sheet1!$C$31:$C$35</c:f>
              <c:numCache>
                <c:formatCode>General</c:formatCode>
                <c:ptCount val="5"/>
                <c:pt idx="0">
                  <c:v>71.3</c:v>
                </c:pt>
                <c:pt idx="1">
                  <c:v>76.3</c:v>
                </c:pt>
                <c:pt idx="2">
                  <c:v>99</c:v>
                </c:pt>
                <c:pt idx="3">
                  <c:v>110</c:v>
                </c:pt>
                <c:pt idx="4">
                  <c:v>91.8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D-49A7-8214-368A47EC7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764832"/>
        <c:axId val="475079664"/>
      </c:scatterChart>
      <c:valAx>
        <c:axId val="652764832"/>
        <c:scaling>
          <c:orientation val="minMax"/>
          <c:max val="6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Locked</a:t>
                </a:r>
                <a:r>
                  <a:rPr lang="en-US" altLang="zh-CN" baseline="0"/>
                  <a:t> Frequency /kHz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5079664"/>
        <c:crosses val="autoZero"/>
        <c:crossBetween val="midCat"/>
        <c:majorUnit val="5"/>
      </c:valAx>
      <c:valAx>
        <c:axId val="47507966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/>
                  <a:t>Phase</a:t>
                </a:r>
                <a:r>
                  <a:rPr lang="en-GB" altLang="zh-CN" baseline="0"/>
                  <a:t> difference(Degree)</a:t>
                </a:r>
                <a:endParaRPr lang="en-GB" altLang="zh-CN"/>
              </a:p>
            </c:rich>
          </c:tx>
          <c:layout>
            <c:manualLayout>
              <c:xMode val="edge"/>
              <c:yMode val="edge"/>
              <c:x val="3.6296650419347126E-2"/>
              <c:y val="0.11058419243986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76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604837</xdr:colOff>
      <xdr:row>3</xdr:row>
      <xdr:rowOff>69056</xdr:rowOff>
    </xdr:from>
    <xdr:to>
      <xdr:col>10</xdr:col>
      <xdr:colOff>383380</xdr:colOff>
      <xdr:row>14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B9C35-D336-EEEF-6738-E0AF08735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628650</xdr:colOff>
      <xdr:row>18</xdr:row>
      <xdr:rowOff>66676</xdr:rowOff>
    </xdr:from>
    <xdr:to>
      <xdr:col>12</xdr:col>
      <xdr:colOff>388143</xdr:colOff>
      <xdr:row>26</xdr:row>
      <xdr:rowOff>169068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7E79C-0E06-577D-965A-22BB8F7B5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402270</xdr:colOff>
      <xdr:row>29</xdr:row>
      <xdr:rowOff>157209</xdr:rowOff>
    </xdr:from>
    <xdr:to>
      <xdr:col>11</xdr:col>
      <xdr:colOff>367129</xdr:colOff>
      <xdr:row>40</xdr:row>
      <xdr:rowOff>72317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48F932-453A-9CC0-2E7C-2227C993E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zoomScale="103" zoomScaleNormal="130" workbookViewId="0">
      <selection activeCell="M40" sqref="M40"/>
    </sheetView>
  </sheetViews>
  <sheetFormatPr defaultRowHeight="13.9" x14ac:dyDescent="0.4"/>
  <sheetData>
    <row r="1" spans="1:7" x14ac:dyDescent="0.4">
      <c r="A1" t="s">
        <v>5</v>
      </c>
    </row>
    <row r="2" spans="1:7" x14ac:dyDescent="0.4">
      <c r="A2" t="s">
        <v>0</v>
      </c>
      <c r="B2" t="s">
        <v>1</v>
      </c>
      <c r="C2" t="s">
        <v>2</v>
      </c>
    </row>
    <row r="3" spans="1:7" x14ac:dyDescent="0.4">
      <c r="A3">
        <v>30</v>
      </c>
      <c r="B3">
        <v>339</v>
      </c>
      <c r="C3">
        <f>(360-B3)/(2*3.14159265)</f>
        <v>3.3422538087488838</v>
      </c>
      <c r="G3" t="s">
        <v>3</v>
      </c>
    </row>
    <row r="4" spans="1:7" x14ac:dyDescent="0.4">
      <c r="A4">
        <v>35</v>
      </c>
      <c r="B4">
        <v>335</v>
      </c>
      <c r="C4">
        <f t="shared" ref="C4:C13" si="0">(360-B4)/(2*3.14159265)</f>
        <v>3.9788735818439096</v>
      </c>
    </row>
    <row r="5" spans="1:7" x14ac:dyDescent="0.4">
      <c r="A5">
        <v>40</v>
      </c>
      <c r="B5">
        <v>332</v>
      </c>
      <c r="C5">
        <f t="shared" si="0"/>
        <v>4.4563384116651781</v>
      </c>
    </row>
    <row r="6" spans="1:7" x14ac:dyDescent="0.4">
      <c r="A6">
        <v>45</v>
      </c>
      <c r="B6">
        <v>327.5</v>
      </c>
      <c r="C6">
        <f t="shared" si="0"/>
        <v>5.1725356563970823</v>
      </c>
    </row>
    <row r="7" spans="1:7" x14ac:dyDescent="0.4">
      <c r="A7">
        <v>50</v>
      </c>
      <c r="B7">
        <v>322.8</v>
      </c>
      <c r="C7">
        <f t="shared" si="0"/>
        <v>5.9205638897837352</v>
      </c>
    </row>
    <row r="8" spans="1:7" x14ac:dyDescent="0.4">
      <c r="A8">
        <v>55</v>
      </c>
      <c r="B8">
        <v>313.2</v>
      </c>
      <c r="C8">
        <f t="shared" si="0"/>
        <v>7.4484513452118</v>
      </c>
    </row>
    <row r="9" spans="1:7" x14ac:dyDescent="0.4">
      <c r="A9">
        <v>60</v>
      </c>
      <c r="B9">
        <v>310</v>
      </c>
      <c r="C9">
        <f t="shared" si="0"/>
        <v>7.9577471636878192</v>
      </c>
    </row>
    <row r="10" spans="1:7" x14ac:dyDescent="0.4">
      <c r="A10">
        <v>65</v>
      </c>
      <c r="B10">
        <v>302</v>
      </c>
      <c r="C10">
        <f t="shared" si="0"/>
        <v>9.23098670987787</v>
      </c>
    </row>
    <row r="11" spans="1:7" x14ac:dyDescent="0.4">
      <c r="A11">
        <v>70</v>
      </c>
      <c r="B11">
        <v>292</v>
      </c>
      <c r="C11">
        <f t="shared" si="0"/>
        <v>10.822536142615434</v>
      </c>
    </row>
    <row r="12" spans="1:7" x14ac:dyDescent="0.4">
      <c r="A12">
        <v>75</v>
      </c>
      <c r="B12">
        <v>273</v>
      </c>
      <c r="C12">
        <f t="shared" si="0"/>
        <v>13.846480064816804</v>
      </c>
    </row>
    <row r="13" spans="1:7" x14ac:dyDescent="0.4">
      <c r="A13">
        <v>80</v>
      </c>
      <c r="B13">
        <v>265</v>
      </c>
      <c r="C13">
        <f t="shared" si="0"/>
        <v>15.119719611006856</v>
      </c>
    </row>
    <row r="17" spans="1:7" x14ac:dyDescent="0.4">
      <c r="A17">
        <v>500</v>
      </c>
      <c r="B17">
        <v>325</v>
      </c>
      <c r="C17">
        <f>(360-B17)/(2*3.14159265)</f>
        <v>5.5704230145814728</v>
      </c>
    </row>
    <row r="18" spans="1:7" x14ac:dyDescent="0.4">
      <c r="A18">
        <v>550</v>
      </c>
      <c r="B18">
        <v>321</v>
      </c>
      <c r="C18">
        <f t="shared" ref="C18:C24" si="1">(360-B18)/(2*3.14159265)</f>
        <v>6.2070427876764986</v>
      </c>
      <c r="G18" t="s">
        <v>4</v>
      </c>
    </row>
    <row r="19" spans="1:7" x14ac:dyDescent="0.4">
      <c r="A19">
        <v>600</v>
      </c>
      <c r="B19">
        <v>316.2</v>
      </c>
      <c r="C19">
        <f t="shared" si="1"/>
        <v>6.970986515390531</v>
      </c>
    </row>
    <row r="20" spans="1:7" x14ac:dyDescent="0.4">
      <c r="A20">
        <v>650</v>
      </c>
      <c r="B20">
        <v>319.39999999999998</v>
      </c>
      <c r="C20">
        <f t="shared" si="1"/>
        <v>6.4616906969145127</v>
      </c>
    </row>
    <row r="21" spans="1:7" x14ac:dyDescent="0.4">
      <c r="A21">
        <v>700</v>
      </c>
      <c r="B21">
        <v>312</v>
      </c>
      <c r="C21">
        <f t="shared" si="1"/>
        <v>7.6394372771403063</v>
      </c>
    </row>
    <row r="22" spans="1:7" x14ac:dyDescent="0.4">
      <c r="A22">
        <v>750</v>
      </c>
      <c r="B22">
        <v>297.8</v>
      </c>
      <c r="C22">
        <f t="shared" si="1"/>
        <v>9.8994374716276443</v>
      </c>
    </row>
    <row r="23" spans="1:7" x14ac:dyDescent="0.4">
      <c r="A23">
        <v>800</v>
      </c>
      <c r="B23">
        <v>289.5</v>
      </c>
      <c r="C23">
        <f t="shared" si="1"/>
        <v>11.220423500799825</v>
      </c>
    </row>
    <row r="24" spans="1:7" x14ac:dyDescent="0.4">
      <c r="A24">
        <v>900</v>
      </c>
      <c r="B24">
        <v>267.60000000000002</v>
      </c>
      <c r="C24">
        <f t="shared" si="1"/>
        <v>14.705916758495086</v>
      </c>
    </row>
    <row r="29" spans="1:7" x14ac:dyDescent="0.4">
      <c r="A29" t="s">
        <v>7</v>
      </c>
      <c r="C29" t="s">
        <v>8</v>
      </c>
    </row>
    <row r="30" spans="1:7" x14ac:dyDescent="0.4">
      <c r="A30" t="s">
        <v>6</v>
      </c>
    </row>
    <row r="31" spans="1:7" x14ac:dyDescent="0.4">
      <c r="A31">
        <v>26</v>
      </c>
      <c r="C31">
        <v>71.3</v>
      </c>
    </row>
    <row r="32" spans="1:7" x14ac:dyDescent="0.4">
      <c r="A32">
        <v>30</v>
      </c>
      <c r="C32">
        <v>76.3</v>
      </c>
    </row>
    <row r="33" spans="1:3" x14ac:dyDescent="0.4">
      <c r="A33">
        <v>50</v>
      </c>
      <c r="C33">
        <v>99</v>
      </c>
    </row>
    <row r="34" spans="1:3" x14ac:dyDescent="0.4">
      <c r="A34">
        <v>60</v>
      </c>
      <c r="C34">
        <v>110</v>
      </c>
    </row>
    <row r="35" spans="1:3" x14ac:dyDescent="0.4">
      <c r="A35">
        <v>43</v>
      </c>
      <c r="C35">
        <v>91.8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2026-02-26T15:27:37Z</dcterms:modified>
</cp:coreProperties>
</file>